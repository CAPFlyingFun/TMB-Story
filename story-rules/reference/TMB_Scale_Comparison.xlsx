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2974c39fa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le Comparison" sheetId="1" r:id="Rf37eb9b401924af4"/>
    <x:sheet xmlns:r="http://schemas.openxmlformats.org/officeDocument/2006/relationships" name="Sources" sheetId="2" r:id="R11c1ff5e8871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0"/>
      <x:name val="Carlito"/>
    </x:font>
    <x:font>
      <x:b/>
      <x:sz val="10"/>
      <x:color rgb="FFFFFFFF"/>
      <x:name val="Carlito"/>
    </x:font>
    <x:font>
      <x:sz val="10"/>
      <x:color rgb="FF000000"/>
      <x:name val="Aptos"/>
    </x:font>
    <x:font>
      <x:i/>
      <x:sz val="9"/>
      <x:name val="Carlito"/>
    </x:font>
    <x:font>
      <x:b/>
      <x:sz val="10"/>
      <x:color rgb="FF000000"/>
      <x:name val="Aptos"/>
    </x:font>
    <x:font>
      <x:b/>
      <x:sz val="9"/>
      <x:color rgb="FF000000"/>
      <x:name val="Carlito"/>
    </x:font>
    <x:font>
      <x:sz val="9"/>
      <x:color rgb="FF555555"/>
      <x:name val="Aptos"/>
    </x:font>
  </x:fonts>
  <x:fills count="2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244B47"/>
      </x:patternFill>
    </x:fill>
    <x:fill>
      <x:patternFill patternType="solid">
        <x:fgColor rgb="FFFFFFFF"/>
      </x:patternFill>
    </x:fill>
    <x:fill>
      <x:patternFill patternType="solid">
        <x:fgColor rgb="FFD9E2F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EADCF8"/>
      </x:patternFill>
    </x:fill>
    <x:fill>
      <x:patternFill patternType="solid">
        <x:fgColor rgb="FFD9EAD3"/>
      </x:patternFill>
    </x:fill>
    <x:fill>
      <x:patternFill patternType="solid">
        <x:fgColor rgb="FFE6D5B8"/>
      </x:patternFill>
    </x:fill>
    <x:fill>
      <x:patternFill patternType="solid">
        <x:fgColor rgb="FFCFE2F3"/>
      </x:patternFill>
    </x:fill>
    <x:fill>
      <x:patternFill patternType="solid">
        <x:fgColor rgb="FFB6D7A8"/>
      </x:patternFill>
    </x:fill>
    <x:fill>
      <x:patternFill patternType="solid">
        <x:fgColor rgb="FFD9D9D9"/>
      </x:patternFill>
    </x:fill>
    <x:fill>
      <x:patternFill patternType="solid">
        <x:fgColor rgb="FF102A43"/>
      </x:patternFill>
    </x:fill>
    <x:fill>
      <x:patternFill patternType="solid">
        <x:fgColor rgb="FFD8E7F0"/>
      </x:patternFill>
    </x:fill>
    <x:fill>
      <x:patternFill patternType="solid">
        <x:fgColor rgb="FF1F4E4A"/>
      </x:patternFill>
    </x:fill>
    <x:fill>
      <x:patternFill patternType="solid">
        <x:fgColor rgb="FFEAF0F4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200" fontId="5" fillId="6" borderId="3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6" borderId="8" xfId="0" applyNumberFormat="1" applyFont="1" applyFill="1" applyBorder="1" applyAlignment="1">
      <x:alignment vertical="top" wrapText="1"/>
    </x:xf>
    <x:xf numFmtId="200" fontId="5" fillId="6" borderId="11" xfId="0" applyNumberFormat="1" applyFont="1" applyFill="1" applyBorder="1" applyAlignment="1">
      <x:alignment vertical="top" wrapText="1"/>
    </x:xf>
    <x:xf numFmtId="200" fontId="5" fillId="6" borderId="1" xfId="0" applyNumberFormat="1" applyFont="1" applyFill="1" applyBorder="1" applyAlignment="1">
      <x:alignment vertical="top" wrapText="1"/>
    </x:xf>
    <x:xf numFmtId="200" fontId="5" fillId="6" borderId="16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20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200" fontId="5" fillId="8" borderId="0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7" fillId="8" borderId="5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200" fontId="5" fillId="9" borderId="0" xfId="0" applyNumberFormat="1" applyFont="1" applyFill="1" applyBorder="1" applyAlignment="1">
      <x:alignment vertical="top" wrapText="1"/>
    </x:xf>
    <x:xf numFmtId="0" fontId="5" fillId="9" borderId="6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5" fillId="10" borderId="5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200" fontId="5" fillId="10" borderId="0" xfId="0" applyNumberFormat="1" applyFont="1" applyFill="1" applyBorder="1" applyAlignment="1">
      <x:alignment vertical="top" wrapText="1"/>
    </x:xf>
    <x:xf numFmtId="0" fontId="5" fillId="10" borderId="6" xfId="0" applyNumberFormat="1" applyFont="1" applyFill="1" applyBorder="1" applyAlignment="1">
      <x:alignment vertical="top" wrapText="1"/>
    </x:xf>
    <x:xf numFmtId="0" fontId="7" fillId="10" borderId="5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5" fillId="11" borderId="5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200" fontId="5" fillId="11" borderId="0" xfId="0" applyNumberFormat="1" applyFont="1" applyFill="1" applyBorder="1" applyAlignment="1">
      <x:alignment vertical="top" wrapText="1"/>
    </x:xf>
    <x:xf numFmtId="0" fontId="5" fillId="11" borderId="6" xfId="0" applyNumberFormat="1" applyFont="1" applyFill="1" applyBorder="1" applyAlignment="1">
      <x:alignment vertical="top" wrapText="1"/>
    </x:xf>
    <x:xf numFmtId="0" fontId="7" fillId="11" borderId="5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200" fontId="5" fillId="12" borderId="0" xfId="0" applyNumberFormat="1" applyFont="1" applyFill="1" applyBorder="1" applyAlignment="1">
      <x:alignment vertical="top" wrapText="1"/>
    </x:xf>
    <x:xf numFmtId="0" fontId="5" fillId="12" borderId="6" xfId="0" applyNumberFormat="1" applyFont="1" applyFill="1" applyBorder="1" applyAlignment="1">
      <x:alignment vertical="top" wrapText="1"/>
    </x:xf>
    <x:xf numFmtId="0" fontId="7" fillId="12" borderId="5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0" fontId="5" fillId="13" borderId="5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200" fontId="5" fillId="13" borderId="0" xfId="0" applyNumberFormat="1" applyFont="1" applyFill="1" applyBorder="1" applyAlignment="1">
      <x:alignment vertical="top" wrapText="1"/>
    </x:xf>
    <x:xf numFmtId="0" fontId="5" fillId="13" borderId="6" xfId="0" applyNumberFormat="1" applyFont="1" applyFill="1" applyBorder="1" applyAlignment="1">
      <x:alignment vertical="top" wrapText="1"/>
    </x:xf>
    <x:xf numFmtId="0" fontId="7" fillId="13" borderId="5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200" fontId="5" fillId="14" borderId="0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7" fillId="14" borderId="5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vertical="top" wrapText="1"/>
    </x:xf>
    <x:xf numFmtId="0" fontId="5" fillId="15" borderId="5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200" fontId="5" fillId="15" borderId="0" xfId="0" applyNumberFormat="1" applyFont="1" applyFill="1" applyBorder="1" applyAlignment="1">
      <x:alignment vertical="top" wrapText="1"/>
    </x:xf>
    <x:xf numFmtId="0" fontId="5" fillId="15" borderId="6" xfId="0" applyNumberFormat="1" applyFont="1" applyFill="1" applyBorder="1" applyAlignment="1">
      <x:alignment vertical="top" wrapText="1"/>
    </x:xf>
    <x:xf numFmtId="0" fontId="7" fillId="15" borderId="5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5" fillId="15" borderId="7" xfId="0" applyNumberFormat="1" applyFont="1" applyFill="1" applyBorder="1" applyAlignment="1">
      <x:alignment vertical="top" wrapText="1"/>
    </x:xf>
    <x:xf numFmtId="0" fontId="5" fillId="15" borderId="8" xfId="0" applyNumberFormat="1" applyFont="1" applyFill="1" applyBorder="1" applyAlignment="1">
      <x:alignment vertical="top" wrapText="1"/>
    </x:xf>
    <x:xf numFmtId="200" fontId="5" fillId="15" borderId="8" xfId="0" applyNumberFormat="1" applyFont="1" applyFill="1" applyBorder="1" applyAlignment="1">
      <x:alignment vertical="top" wrapText="1"/>
    </x:xf>
    <x:xf numFmtId="0" fontId="5" fillId="15" borderId="9" xfId="0" applyNumberFormat="1" applyFont="1" applyFill="1" applyBorder="1" applyAlignment="1">
      <x:alignment vertical="top" wrapText="1"/>
    </x:xf>
    <x:xf numFmtId="0" fontId="7" fillId="15" borderId="7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3" fillId="19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horizontal="center"/>
    </x:xf>
    <x:xf numFmtId="0" fontId="8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horizontal="center"/>
    </x:xf>
    <x:xf numFmtId="0" fontId="8" fillId="15" borderId="0" xfId="0" applyNumberFormat="1" applyFont="1" applyFill="1" applyBorder="1" applyAlignment="1">
      <x:alignment horizontal="center" vertical="center"/>
    </x:xf>
    <x:xf numFmtId="0" fontId="9" fillId="7" borderId="4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9" fillId="9" borderId="6" xfId="0" applyNumberFormat="1" applyFont="1" applyFill="1" applyBorder="1" applyAlignment="1">
      <x:alignment vertical="top" wrapText="1"/>
    </x:xf>
    <x:xf numFmtId="0" fontId="9" fillId="10" borderId="6" xfId="0" applyNumberFormat="1" applyFont="1" applyFill="1" applyBorder="1" applyAlignment="1">
      <x:alignment vertical="top" wrapText="1"/>
    </x:xf>
    <x:xf numFmtId="0" fontId="9" fillId="11" borderId="6" xfId="0" applyNumberFormat="1" applyFont="1" applyFill="1" applyBorder="1" applyAlignment="1">
      <x:alignment vertical="top" wrapText="1"/>
    </x:xf>
    <x:xf numFmtId="0" fontId="9" fillId="12" borderId="6" xfId="0" applyNumberFormat="1" applyFont="1" applyFill="1" applyBorder="1" applyAlignment="1">
      <x:alignment vertical="top" wrapText="1"/>
    </x:xf>
    <x:xf numFmtId="0" fontId="9" fillId="13" borderId="6" xfId="0" applyNumberFormat="1" applyFont="1" applyFill="1" applyBorder="1" applyAlignment="1">
      <x:alignment vertical="top" wrapText="1"/>
    </x:xf>
    <x:xf numFmtId="0" fontId="9" fillId="14" borderId="6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9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9" fillId="13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c65a83ec24ac7" /><Relationship Type="http://schemas.openxmlformats.org/officeDocument/2006/relationships/theme" Target="/xl/theme/theme1.xml" Id="R6cf92873ff0c4470" /><Relationship Type="http://schemas.openxmlformats.org/officeDocument/2006/relationships/sharedStrings" Target="/xl/sharedStrings.xml" Id="Ra54d0b85361340c5" /><Relationship Type="http://schemas.openxmlformats.org/officeDocument/2006/relationships/worksheet" Target="/xl/worksheets/sheet1.xml" Id="Rf37eb9b401924af4" /><Relationship Type="http://schemas.openxmlformats.org/officeDocument/2006/relationships/worksheet" Target="/xl/worksheets/sheet2.xml" Id="R11c1ff5e887145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0" hidden="0" customWidth="1"/>
    <x:col min="4" max="4" width="13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50" hidden="0" customWidth="1"/>
    <x:col min="10" max="10" width="12" hidden="0" customWidth="1"/>
  </x:cols>
  <x:sheetData>
    <x:row r="1" ht="28" customHeight="1">
      <x:c r="A1" s="168" t="str">
        <x:v>TRADDOMIUM 1:180 Scale Comparison</x:v>
      </x:c>
      <x:c r="B1" s="168"/>
      <x:c r="C1" s="168"/>
      <x:c r="D1" s="168"/>
      <x:c r="E1" s="168"/>
      <x:c r="F1" s="168"/>
      <x:c r="G1" s="168"/>
      <x:c r="H1" s="168"/>
      <x:c r="I1" s="168"/>
      <x:c r="J1" s="168"/>
    </x:row>
    <x:row r="2" ht="24" customHeight="1">
      <x:c r="A2" s="169" t="str">
        <x:v>Normal-world sizes converted into how large they feel relative to a 10 mm human at 1:180 scale. Change B4 to test another scale.</x:v>
      </x:c>
      <x:c r="B2" s="169"/>
      <x:c r="C2" s="169"/>
      <x:c r="D2" s="169"/>
      <x:c r="E2" s="169"/>
      <x:c r="F2" s="169"/>
      <x:c r="G2" s="169"/>
      <x:c r="H2" s="169"/>
      <x:c r="I2" s="169"/>
      <x:c r="J2" s="169"/>
    </x:row>
    <x:row r="4">
      <x:c r="A4" s="171" t="str">
        <x:v>Scale multiplier</x:v>
      </x:c>
      <x:c r="B4" s="171" t="n">
        <x:v>180</x:v>
      </x:c>
      <x:c r="C4" s="171"/>
      <x:c r="D4" s="171" t="str">
        <x:v>TMB human height (mm)</x:v>
      </x:c>
      <x:c r="E4" s="171" t="n">
        <x:v>10</x:v>
      </x:c>
      <x:c r="F4" s="171"/>
      <x:c r="G4" s="171" t="str">
        <x:v>Equivalent normal height</x:v>
      </x:c>
      <x:c r="H4" s="171" t="n">
        <x:v>1.8</x:v>
      </x:c>
      <x:c r="I4" s="171" t="str">
        <x:v>m</x:v>
      </x:c>
    </x:row>
    <x:row r="5" ht="20" customHeight="1">
      <x:c r="A5" s="175" t="str">
        <x:v>People</x:v>
      </x:c>
      <x:c r="B5" s="179" t="str">
        <x:v>Insects</x:v>
      </x:c>
      <x:c r="C5" s="183" t="str">
        <x:v>Spiders</x:v>
      </x:c>
      <x:c r="D5" s="187" t="str">
        <x:v>Plants / palms</x:v>
      </x:c>
      <x:c r="E5" s="191" t="str">
        <x:v>Terrain</x:v>
      </x:c>
      <x:c r="F5" s="195" t="str">
        <x:v>Water</x:v>
      </x:c>
      <x:c r="G5" s="199" t="str">
        <x:v>Human objects</x:v>
      </x:c>
    </x:row>
    <x:row r="6" ht="28" customHeight="1">
      <x:c r="A6" s="170" t="str">
        <x:v>Category</x:v>
      </x:c>
      <x:c r="B6" s="170" t="str">
        <x:v>Object / organism</x:v>
      </x:c>
      <x:c r="C6" s="170" t="str">
        <x:v>Typical normal size</x:v>
      </x:c>
      <x:c r="D6" s="170" t="str">
        <x:v>Normal mm</x:v>
      </x:c>
      <x:c r="E6" s="170" t="str">
        <x:v>TMB-relative size mm</x:v>
      </x:c>
      <x:c r="F6" s="170" t="str">
        <x:v>TMB-relative m</x:v>
      </x:c>
      <x:c r="G6" s="170" t="str">
        <x:v>TMB-relative ft</x:v>
      </x:c>
      <x:c r="H6" s="170" t="str">
        <x:v>Compared with 10 mm human</x:v>
      </x:c>
      <x:c r="I6" s="170" t="str">
        <x:v>Game-world impression</x:v>
      </x:c>
      <x:c r="J6" s="170" t="str">
        <x:v>Source #</x:v>
      </x:c>
    </x:row>
    <x:row r="7" ht="30" customHeight="1">
      <x:c r="A7" s="113" t="str">
        <x:v>Human</x:v>
      </x:c>
      <x:c r="B7" s="108" t="str">
        <x:v>Adult human (reference)</x:v>
      </x:c>
      <x:c r="C7" s="108" t="str">
        <x:v>~1.8 m</x:v>
      </x:c>
      <x:c r="D7" s="109" t="n">
        <x:v>1800</x:v>
      </x:c>
      <x:c r="E7" s="109" t="n">
        <x:f>D7*$B$4</x:f>
        <x:v>324000</x:v>
      </x:c>
      <x:c r="F7" s="109" t="n">
        <x:f>E7/1000</x:f>
        <x:v>324</x:v>
      </x:c>
      <x:c r="G7" s="109" t="n">
        <x:f>F7*3.280839895</x:f>
        <x:v>1062.99212598</x:v>
      </x:c>
      <x:c r="H7" s="109" t="n">
        <x:f>D7/$E$4</x:f>
        <x:v>180</x:v>
      </x:c>
      <x:c r="I7" s="108" t="str">
        <x:v>A normal 1.8 m person would feel 324 m tall to a 10 mm TMB human.</x:v>
      </x:c>
      <x:c r="J7" s="200" t="str">
        <x:v>—</x:v>
      </x:c>
    </x:row>
    <x:row r="8" ht="30" customHeight="1">
      <x:c r="A8" s="119" t="str">
        <x:v>Ant</x:v>
      </x:c>
      <x:c r="B8" s="116" t="str">
        <x:v>Red imported fire ant worker</x:v>
      </x:c>
      <x:c r="C8" s="116" t="str">
        <x:v>2.4–6 mm (use 4.2 mm midpoint)</x:v>
      </x:c>
      <x:c r="D8" s="117" t="n">
        <x:v>4.2</x:v>
      </x:c>
      <x:c r="E8" s="117" t="n">
        <x:f>D8*$B$4</x:f>
        <x:v>756</x:v>
      </x:c>
      <x:c r="F8" s="117" t="n">
        <x:f>E8/1000</x:f>
        <x:v>0.756</x:v>
      </x:c>
      <x:c r="G8" s="117" t="n">
        <x:f>F8*3.280839895</x:f>
        <x:v>2.4803149606200003</x:v>
      </x:c>
      <x:c r="H8" s="117" t="n">
        <x:f>D8/$E$4</x:f>
        <x:v>0.42000000000000004</x:v>
      </x:c>
      <x:c r="I8" s="116" t="str">
        <x:v>About waist-to-knee height relative to a 10 mm person, but built like an armored animal.</x:v>
      </x:c>
      <x:c r="J8" s="201" t="str">
        <x:v>S1</x:v>
      </x:c>
    </x:row>
    <x:row r="9" ht="30" customHeight="1">
      <x:c r="A9" s="119" t="str">
        <x:v>Ant</x:v>
      </x:c>
      <x:c r="B9" s="116" t="str">
        <x:v>Red imported fire ant queen</x:v>
      </x:c>
      <x:c r="C9" s="116" t="str">
        <x:v>~10 mm</x:v>
      </x:c>
      <x:c r="D9" s="117" t="n">
        <x:v>10</x:v>
      </x:c>
      <x:c r="E9" s="117" t="n">
        <x:f>D9*$B$4</x:f>
        <x:v>1800</x:v>
      </x:c>
      <x:c r="F9" s="117" t="n">
        <x:f>E9/1000</x:f>
        <x:v>1.8</x:v>
      </x:c>
      <x:c r="G9" s="117" t="n">
        <x:f>F9*3.280839895</x:f>
        <x:v>5.905511811</x:v>
      </x:c>
      <x:c r="H9" s="117" t="n">
        <x:f>D9/$E$4</x:f>
        <x:v>1</x:v>
      </x:c>
      <x:c r="I9" s="116" t="str">
        <x:v>Roughly human-length at TMB scale. A queen is a genuinely large creature beside a person.</x:v>
      </x:c>
      <x:c r="J9" s="201" t="str">
        <x:v>S2</x:v>
      </x:c>
    </x:row>
    <x:row r="10" ht="30" customHeight="1">
      <x:c r="A10" s="119" t="str">
        <x:v>Ant</x:v>
      </x:c>
      <x:c r="B10" s="116" t="str">
        <x:v>Florida carpenter ant worker</x:v>
      </x:c>
      <x:c r="C10" s="116" t="str">
        <x:v>5.5–10 mm (use 7.75 mm midpoint)</x:v>
      </x:c>
      <x:c r="D10" s="117" t="n">
        <x:v>7.75</x:v>
      </x:c>
      <x:c r="E10" s="117" t="n">
        <x:f>D10*$B$4</x:f>
        <x:v>1395</x:v>
      </x:c>
      <x:c r="F10" s="117" t="n">
        <x:f>E10/1000</x:f>
        <x:v>1.395</x:v>
      </x:c>
      <x:c r="G10" s="117" t="n">
        <x:f>F10*3.280839895</x:f>
        <x:v>4.576771653525</x:v>
      </x:c>
      <x:c r="H10" s="117" t="n">
        <x:f>D10/$E$4</x:f>
        <x:v>0.775</x:v>
      </x:c>
      <x:c r="I10" s="116" t="str">
        <x:v>Nearly person-sized at the midpoint; majors can match a 10 mm human in body length.</x:v>
      </x:c>
      <x:c r="J10" s="201" t="str">
        <x:v>S3</x:v>
      </x:c>
    </x:row>
    <x:row r="11" ht="30" customHeight="1">
      <x:c r="A11" s="119" t="str">
        <x:v>Ant</x:v>
      </x:c>
      <x:c r="B11" s="116" t="str">
        <x:v>Florida carpenter ant winged female</x:v>
      </x:c>
      <x:c r="C11" s="116" t="str">
        <x:v>up to 20 mm</x:v>
      </x:c>
      <x:c r="D11" s="117" t="n">
        <x:v>20</x:v>
      </x:c>
      <x:c r="E11" s="117" t="n">
        <x:f>D11*$B$4</x:f>
        <x:v>3600</x:v>
      </x:c>
      <x:c r="F11" s="117" t="n">
        <x:f>E11/1000</x:f>
        <x:v>3.6</x:v>
      </x:c>
      <x:c r="G11" s="117" t="n">
        <x:f>F11*3.280839895</x:f>
        <x:v>11.811023622</x:v>
      </x:c>
      <x:c r="H11" s="117" t="n">
        <x:f>D11/$E$4</x:f>
        <x:v>2</x:v>
      </x:c>
      <x:c r="I11" s="116" t="str">
        <x:v>About twice a TMB human's height in body length.</x:v>
      </x:c>
      <x:c r="J11" s="201" t="str">
        <x:v>S3</x:v>
      </x:c>
    </x:row>
    <x:row r="12" ht="30" customHeight="1">
      <x:c r="A12" s="125" t="str">
        <x:v>Fly</x:v>
      </x:c>
      <x:c r="B12" s="122" t="str">
        <x:v>House fly</x:v>
      </x:c>
      <x:c r="C12" s="122" t="str">
        <x:v>6–7 mm (use 6.5 mm)</x:v>
      </x:c>
      <x:c r="D12" s="123" t="n">
        <x:v>6.5</x:v>
      </x:c>
      <x:c r="E12" s="123" t="n">
        <x:f>D12*$B$4</x:f>
        <x:v>1170</x:v>
      </x:c>
      <x:c r="F12" s="123" t="n">
        <x:f>E12/1000</x:f>
        <x:v>1.17</x:v>
      </x:c>
      <x:c r="G12" s="123" t="n">
        <x:f>F12*3.280839895</x:f>
        <x:v>3.83858267715</x:v>
      </x:c>
      <x:c r="H12" s="123" t="n">
        <x:f>D12/$E$4</x:f>
        <x:v>0.65</x:v>
      </x:c>
      <x:c r="I12" s="122" t="str">
        <x:v>A large flying animal about two-thirds a person's height in body length.</x:v>
      </x:c>
      <x:c r="J12" s="202" t="str">
        <x:v>S4</x:v>
      </x:c>
    </x:row>
    <x:row r="13" ht="30" customHeight="1">
      <x:c r="A13" s="125" t="str">
        <x:v>Mosquito</x:v>
      </x:c>
      <x:c r="B13" s="122" t="str">
        <x:v>Southern house mosquito</x:v>
      </x:c>
      <x:c r="C13" s="122" t="str">
        <x:v>3.96–4.25 mm (use 4.1 mm)</x:v>
      </x:c>
      <x:c r="D13" s="123" t="n">
        <x:v>4.1</x:v>
      </x:c>
      <x:c r="E13" s="123" t="n">
        <x:f>D13*$B$4</x:f>
        <x:v>737.9999999999999</x:v>
      </x:c>
      <x:c r="F13" s="123" t="n">
        <x:f>E13/1000</x:f>
        <x:v>0.7379999999999999</x:v>
      </x:c>
      <x:c r="G13" s="123" t="n">
        <x:f>F13*3.280839895</x:f>
        <x:v>2.4212598425099996</x:v>
      </x:c>
      <x:c r="H13" s="123" t="n">
        <x:f>D13/$E$4</x:f>
        <x:v>0.41</x:v>
      </x:c>
      <x:c r="I13" s="122" t="str">
        <x:v>Body length around 41% of a TMB human, before counting the long legs/proboscis.</x:v>
      </x:c>
      <x:c r="J13" s="202" t="str">
        <x:v>S5</x:v>
      </x:c>
    </x:row>
    <x:row r="14" ht="30" customHeight="1">
      <x:c r="A14" s="125" t="str">
        <x:v>Beetle</x:v>
      </x:c>
      <x:c r="B14" s="122" t="str">
        <x:v>Lady beetle</x:v>
      </x:c>
      <x:c r="C14" s="122" t="str">
        <x:v>~6.5 mm</x:v>
      </x:c>
      <x:c r="D14" s="123" t="n">
        <x:v>6.5</x:v>
      </x:c>
      <x:c r="E14" s="123" t="n">
        <x:f>D14*$B$4</x:f>
        <x:v>1170</x:v>
      </x:c>
      <x:c r="F14" s="123" t="n">
        <x:f>E14/1000</x:f>
        <x:v>1.17</x:v>
      </x:c>
      <x:c r="G14" s="123" t="n">
        <x:f>F14*3.280839895</x:f>
        <x:v>3.83858267715</x:v>
      </x:c>
      <x:c r="H14" s="123" t="n">
        <x:f>D14/$E$4</x:f>
        <x:v>0.65</x:v>
      </x:c>
      <x:c r="I14" s="122" t="str">
        <x:v>A rounded beetle roughly two-thirds a person's height in body length.</x:v>
      </x:c>
      <x:c r="J14" s="202" t="str">
        <x:v>S6</x:v>
      </x:c>
    </x:row>
    <x:row r="15" ht="30" customHeight="1">
      <x:c r="A15" s="131" t="str">
        <x:v>Spider</x:v>
      </x:c>
      <x:c r="B15" s="128" t="str">
        <x:v>Regal jumping spider, male</x:v>
      </x:c>
      <x:c r="C15" s="128" t="str">
        <x:v>~12 mm average</x:v>
      </x:c>
      <x:c r="D15" s="129" t="n">
        <x:v>12</x:v>
      </x:c>
      <x:c r="E15" s="129" t="n">
        <x:f>D15*$B$4</x:f>
        <x:v>2160</x:v>
      </x:c>
      <x:c r="F15" s="129" t="n">
        <x:f>E15/1000</x:f>
        <x:v>2.16</x:v>
      </x:c>
      <x:c r="G15" s="129" t="n">
        <x:f>F15*3.280839895</x:f>
        <x:v>7.086614173200001</x:v>
      </x:c>
      <x:c r="H15" s="129" t="n">
        <x:f>D15/$E$4</x:f>
        <x:v>1.2</x:v>
      </x:c>
      <x:c r="I15" s="128" t="str">
        <x:v>Body alone is longer than a 10 mm human is tall; legs make it feel much larger.</x:v>
      </x:c>
      <x:c r="J15" s="203" t="str">
        <x:v>S7</x:v>
      </x:c>
    </x:row>
    <x:row r="16" ht="30" customHeight="1">
      <x:c r="A16" s="131" t="str">
        <x:v>Spider</x:v>
      </x:c>
      <x:c r="B16" s="128" t="str">
        <x:v>Regal jumping spider, female</x:v>
      </x:c>
      <x:c r="C16" s="128" t="str">
        <x:v>~15 mm average</x:v>
      </x:c>
      <x:c r="D16" s="129" t="n">
        <x:v>15</x:v>
      </x:c>
      <x:c r="E16" s="129" t="n">
        <x:f>D16*$B$4</x:f>
        <x:v>2700</x:v>
      </x:c>
      <x:c r="F16" s="129" t="n">
        <x:f>E16/1000</x:f>
        <x:v>2.7</x:v>
      </x:c>
      <x:c r="G16" s="129" t="n">
        <x:f>F16*3.280839895</x:f>
        <x:v>8.8582677165</x:v>
      </x:c>
      <x:c r="H16" s="129" t="n">
        <x:f>D16/$E$4</x:f>
        <x:v>1.5</x:v>
      </x:c>
      <x:c r="I16" s="128" t="str">
        <x:v>Body length about one and a half human heights, before leg span.</x:v>
      </x:c>
      <x:c r="J16" s="203" t="str">
        <x:v>S7</x:v>
      </x:c>
    </x:row>
    <x:row r="17" ht="30" customHeight="1">
      <x:c r="A17" s="131" t="str">
        <x:v>Spider</x:v>
      </x:c>
      <x:c r="B17" s="128" t="str">
        <x:v>Carolina wolf spider</x:v>
      </x:c>
      <x:c r="C17" s="128" t="str">
        <x:v>25–35 mm (use 30 mm midpoint)</x:v>
      </x:c>
      <x:c r="D17" s="129" t="n">
        <x:v>30</x:v>
      </x:c>
      <x:c r="E17" s="129" t="n">
        <x:f>D17*$B$4</x:f>
        <x:v>5400</x:v>
      </x:c>
      <x:c r="F17" s="129" t="n">
        <x:f>E17/1000</x:f>
        <x:v>5.4</x:v>
      </x:c>
      <x:c r="G17" s="129" t="n">
        <x:f>F17*3.280839895</x:f>
        <x:v>17.716535433</x:v>
      </x:c>
      <x:c r="H17" s="129" t="n">
        <x:f>D17/$E$4</x:f>
        <x:v>3</x:v>
      </x:c>
      <x:c r="I17" s="128" t="str">
        <x:v>Body length alone equals about three TMB human heights.</x:v>
      </x:c>
      <x:c r="J17" s="203" t="str">
        <x:v>S8</x:v>
      </x:c>
    </x:row>
    <x:row r="18" ht="30" customHeight="1">
      <x:c r="A18" s="125" t="str">
        <x:v>Cockroach</x:v>
      </x:c>
      <x:c r="B18" s="122" t="str">
        <x:v>Florida woods cockroach</x:v>
      </x:c>
      <x:c r="C18" s="122" t="str">
        <x:v>30–40 mm (use 35 mm midpoint)</x:v>
      </x:c>
      <x:c r="D18" s="123" t="n">
        <x:v>35</x:v>
      </x:c>
      <x:c r="E18" s="123" t="n">
        <x:f>D18*$B$4</x:f>
        <x:v>6300</x:v>
      </x:c>
      <x:c r="F18" s="123" t="n">
        <x:f>E18/1000</x:f>
        <x:v>6.3</x:v>
      </x:c>
      <x:c r="G18" s="123" t="n">
        <x:f>F18*3.280839895</x:f>
        <x:v>20.6692913385</x:v>
      </x:c>
      <x:c r="H18" s="123" t="n">
        <x:f>D18/$E$4</x:f>
        <x:v>3.5</x:v>
      </x:c>
      <x:c r="I18" s="122" t="str">
        <x:v>Body length about three and a half TMB human heights.</x:v>
      </x:c>
      <x:c r="J18" s="202" t="str">
        <x:v>S9</x:v>
      </x:c>
    </x:row>
    <x:row r="19" ht="30" customHeight="1">
      <x:c r="A19" s="137" t="str">
        <x:v>Plant</x:v>
      </x:c>
      <x:c r="B19" s="134" t="str">
        <x:v>Standard St. Augustinegrass</x:v>
      </x:c>
      <x:c r="C19" s="134" t="str">
        <x:v>3.5–4 in mowed (use 3.75 in)</x:v>
      </x:c>
      <x:c r="D19" s="135" t="n">
        <x:v>95.25</x:v>
      </x:c>
      <x:c r="E19" s="135" t="n">
        <x:f>D19*$B$4</x:f>
        <x:v>17145</x:v>
      </x:c>
      <x:c r="F19" s="135" t="n">
        <x:f>E19/1000</x:f>
        <x:v>17.145</x:v>
      </x:c>
      <x:c r="G19" s="135" t="n">
        <x:f>F19*3.280839895</x:f>
        <x:v>56.249999999775</x:v>
      </x:c>
      <x:c r="H19" s="135" t="n">
        <x:f>D19/$E$4</x:f>
        <x:v>9.525</x:v>
      </x:c>
      <x:c r="I19" s="134" t="str">
        <x:v>A lawn becomes a forest of ~9.5-human-tall blades.</x:v>
      </x:c>
      <x:c r="J19" s="204" t="str">
        <x:v>S10</x:v>
      </x:c>
    </x:row>
    <x:row r="20" ht="30" customHeight="1">
      <x:c r="A20" s="137" t="str">
        <x:v>Plant</x:v>
      </x:c>
      <x:c r="B20" s="134" t="str">
        <x:v>Bahiagrass</x:v>
      </x:c>
      <x:c r="C20" s="134" t="str">
        <x:v>3–4 in mowed (use 3.5 in)</x:v>
      </x:c>
      <x:c r="D20" s="135" t="n">
        <x:v>88.9</x:v>
      </x:c>
      <x:c r="E20" s="135" t="n">
        <x:f>D20*$B$4</x:f>
        <x:v>16002.000000000002</x:v>
      </x:c>
      <x:c r="F20" s="135" t="n">
        <x:f>E20/1000</x:f>
        <x:v>16.002000000000002</x:v>
      </x:c>
      <x:c r="G20" s="135" t="n">
        <x:f>F20*3.280839895</x:f>
        <x:v>52.49999999979001</x:v>
      </x:c>
      <x:c r="H20" s="135" t="n">
        <x:f>D20/$E$4</x:f>
        <x:v>8.89</x:v>
      </x:c>
      <x:c r="I20" s="134" t="str">
        <x:v>Another grass forest, about nine human heights at normal mowing height.</x:v>
      </x:c>
      <x:c r="J20" s="204" t="str">
        <x:v>S10</x:v>
      </x:c>
    </x:row>
    <x:row r="21" ht="30" customHeight="1">
      <x:c r="A21" s="137" t="str">
        <x:v>Plant</x:v>
      </x:c>
      <x:c r="B21" s="134" t="str">
        <x:v>90-foot mature tree (story reference)</x:v>
      </x:c>
      <x:c r="C21" s="134" t="str">
        <x:v>90 ft</x:v>
      </x:c>
      <x:c r="D21" s="135" t="n">
        <x:v>27432</x:v>
      </x:c>
      <x:c r="E21" s="135" t="n">
        <x:f>D21*$B$4</x:f>
        <x:v>4937760</x:v>
      </x:c>
      <x:c r="F21" s="135" t="n">
        <x:f>E21/1000</x:f>
        <x:v>4937.76</x:v>
      </x:c>
      <x:c r="G21" s="135" t="n">
        <x:f>F21*3.280839895</x:f>
        <x:v>16199.999999935202</x:v>
      </x:c>
      <x:c r="H21" s="135" t="n">
        <x:f>D21/$E$4</x:f>
        <x:v>2743.2</x:v>
      </x:c>
      <x:c r="I21" s="134" t="str">
        <x:v>The relative experience is a 4.94 km / 3.07 mile tall structure.</x:v>
      </x:c>
      <x:c r="J21" s="204" t="str">
        <x:v>—</x:v>
      </x:c>
    </x:row>
    <x:row r="22" ht="30" customHeight="1">
      <x:c r="A22" s="143" t="str">
        <x:v>Terrain</x:v>
      </x:c>
      <x:c r="B22" s="140" t="str">
        <x:v>1-inch pebble / stone</x:v>
      </x:c>
      <x:c r="C22" s="140" t="str">
        <x:v>1 in</x:v>
      </x:c>
      <x:c r="D22" s="141" t="n">
        <x:v>25.4</x:v>
      </x:c>
      <x:c r="E22" s="141" t="n">
        <x:f>D22*$B$4</x:f>
        <x:v>4572</x:v>
      </x:c>
      <x:c r="F22" s="141" t="n">
        <x:f>E22/1000</x:f>
        <x:v>4.572</x:v>
      </x:c>
      <x:c r="G22" s="141" t="n">
        <x:f>F22*3.280839895</x:f>
        <x:v>14.999999999940002</x:v>
      </x:c>
      <x:c r="H22" s="141" t="n">
        <x:f>D22/$E$4</x:f>
        <x:v>2.54</x:v>
      </x:c>
      <x:c r="I22" s="140" t="str">
        <x:v>A small stone becomes a boulder about 2.5 human heights across.</x:v>
      </x:c>
      <x:c r="J22" s="205" t="str">
        <x:v>—</x:v>
      </x:c>
    </x:row>
    <x:row r="23" ht="30" customHeight="1">
      <x:c r="A23" s="149" t="str">
        <x:v>Water</x:v>
      </x:c>
      <x:c r="B23" s="146" t="str">
        <x:v>1 mm water droplet</x:v>
      </x:c>
      <x:c r="C23" s="146" t="str">
        <x:v>1 mm</x:v>
      </x:c>
      <x:c r="D23" s="147" t="n">
        <x:v>1</x:v>
      </x:c>
      <x:c r="E23" s="147" t="n">
        <x:f>D23*$B$4</x:f>
        <x:v>180</x:v>
      </x:c>
      <x:c r="F23" s="147" t="n">
        <x:f>E23/1000</x:f>
        <x:v>0.18</x:v>
      </x:c>
      <x:c r="G23" s="147" t="n">
        <x:f>F23*3.280839895</x:f>
        <x:v>0.5905511811</x:v>
      </x:c>
      <x:c r="H23" s="147" t="n">
        <x:f>D23/$E$4</x:f>
        <x:v>0.1</x:v>
      </x:c>
      <x:c r="I23" s="146" t="str">
        <x:v>Feels like an 18 cm / 7.1 in droplet relative to the tiny human.</x:v>
      </x:c>
      <x:c r="J23" s="206" t="str">
        <x:v>—</x:v>
      </x:c>
    </x:row>
    <x:row r="24" ht="30" customHeight="1">
      <x:c r="A24" s="143" t="str">
        <x:v>Terrain</x:v>
      </x:c>
      <x:c r="B24" s="140" t="str">
        <x:v>1-foot curb / ledge</x:v>
      </x:c>
      <x:c r="C24" s="140" t="str">
        <x:v>1 ft</x:v>
      </x:c>
      <x:c r="D24" s="141" t="n">
        <x:v>304.8</x:v>
      </x:c>
      <x:c r="E24" s="141" t="n">
        <x:f>D24*$B$4</x:f>
        <x:v>54864</x:v>
      </x:c>
      <x:c r="F24" s="141" t="n">
        <x:f>E24/1000</x:f>
        <x:v>54.864</x:v>
      </x:c>
      <x:c r="G24" s="141" t="n">
        <x:f>F24*3.280839895</x:f>
        <x:v>179.99999999928</x:v>
      </x:c>
      <x:c r="H24" s="141" t="n">
        <x:f>D24/$E$4</x:f>
        <x:v>30.48</x:v>
      </x:c>
      <x:c r="I24" s="140" t="str">
        <x:v>Feels like a 54.9 m / 180 ft cliff.</x:v>
      </x:c>
      <x:c r="J24" s="205" t="str">
        <x:v>—</x:v>
      </x:c>
    </x:row>
    <x:row r="25" ht="30" customHeight="1">
      <x:c r="A25" s="155" t="str">
        <x:v>Palm</x:v>
      </x:c>
      <x:c r="B25" s="152" t="str">
        <x:v>Cabbage / sabal palm</x:v>
      </x:c>
      <x:c r="C25" s="152" t="str">
        <x:v>~40 ft tall</x:v>
      </x:c>
      <x:c r="D25" s="153" t="n">
        <x:v>12192</x:v>
      </x:c>
      <x:c r="E25" s="153" t="n">
        <x:f>D25*$B$4</x:f>
        <x:v>2194560</x:v>
      </x:c>
      <x:c r="F25" s="153" t="n">
        <x:f>E25/1000</x:f>
        <x:v>2194.56</x:v>
      </x:c>
      <x:c r="G25" s="153" t="n">
        <x:f>F25*3.280839895</x:f>
        <x:v>7199.9999999712</x:v>
      </x:c>
      <x:c r="H25" s="153" t="n">
        <x:f>D25/$E$4</x:f>
        <x:v>1219.2</x:v>
      </x:c>
      <x:c r="I25" s="152" t="str">
        <x:v>A common Florida palm becomes a colossal vertical landmark with a canopy far overhead.</x:v>
      </x:c>
      <x:c r="J25" s="207" t="str">
        <x:v>S13</x:v>
      </x:c>
    </x:row>
    <x:row r="26" ht="30" customHeight="1">
      <x:c r="A26" s="155" t="str">
        <x:v>Palm</x:v>
      </x:c>
      <x:c r="B26" s="152" t="str">
        <x:v>Cabbage palm trunk</x:v>
      </x:c>
      <x:c r="C26" s="152" t="str">
        <x:v>10–16 in diameter (use 13 in)</x:v>
      </x:c>
      <x:c r="D26" s="153" t="n">
        <x:v>330.2</x:v>
      </x:c>
      <x:c r="E26" s="153" t="n">
        <x:f>D26*$B$4</x:f>
        <x:v>59436</x:v>
      </x:c>
      <x:c r="F26" s="153" t="n">
        <x:f>E26/1000</x:f>
        <x:v>59.436</x:v>
      </x:c>
      <x:c r="G26" s="153" t="n">
        <x:f>F26*3.280839895</x:f>
        <x:v>194.99999999922002</x:v>
      </x:c>
      <x:c r="H26" s="153" t="n">
        <x:f>D26/$E$4</x:f>
        <x:v>33.019999999999996</x:v>
      </x:c>
      <x:c r="I26" s="152" t="str">
        <x:v>The trunk alone is about thirty-three TMB human heights thick.</x:v>
      </x:c>
      <x:c r="J26" s="207" t="str">
        <x:v>S13</x:v>
      </x:c>
    </x:row>
    <x:row r="27" ht="30" customHeight="1">
      <x:c r="A27" s="155" t="str">
        <x:v>Palm</x:v>
      </x:c>
      <x:c r="B27" s="152" t="str">
        <x:v>Cabbage palm leaf blade</x:v>
      </x:c>
      <x:c r="C27" s="152" t="str">
        <x:v>3–4 ft long (use 3.5 ft)</x:v>
      </x:c>
      <x:c r="D27" s="153" t="n">
        <x:v>1066.8</x:v>
      </x:c>
      <x:c r="E27" s="153" t="n">
        <x:f>D27*$B$4</x:f>
        <x:v>192024</x:v>
      </x:c>
      <x:c r="F27" s="153" t="n">
        <x:f>E27/1000</x:f>
        <x:v>192.024</x:v>
      </x:c>
      <x:c r="G27" s="153" t="n">
        <x:f>F27*3.280839895</x:f>
        <x:v>629.99999999748</x:v>
      </x:c>
      <x:c r="H27" s="153" t="n">
        <x:f>D27/$E$4</x:f>
        <x:v>106.67999999999999</x:v>
      </x:c>
      <x:c r="I27" s="152" t="str">
        <x:v>One palm blade is a huge roof-like slab of vegetation.</x:v>
      </x:c>
      <x:c r="J27" s="207" t="str">
        <x:v>S13</x:v>
      </x:c>
    </x:row>
    <x:row r="28" ht="30" customHeight="1">
      <x:c r="A28" s="155" t="str">
        <x:v>Palm</x:v>
      </x:c>
      <x:c r="B28" s="152" t="str">
        <x:v>Saw palmetto</x:v>
      </x:c>
      <x:c r="C28" s="152" t="str">
        <x:v>5–10 ft tall (use 7.5 ft)</x:v>
      </x:c>
      <x:c r="D28" s="153" t="n">
        <x:v>2286</x:v>
      </x:c>
      <x:c r="E28" s="153" t="n">
        <x:f>D28*$B$4</x:f>
        <x:v>411480</x:v>
      </x:c>
      <x:c r="F28" s="153" t="n">
        <x:f>E28/1000</x:f>
        <x:v>411.48</x:v>
      </x:c>
      <x:c r="G28" s="153" t="n">
        <x:f>F28*3.280839895</x:f>
        <x:v>1349.9999999946</x:v>
      </x:c>
      <x:c r="H28" s="153" t="n">
        <x:f>D28/$E$4</x:f>
        <x:v>228.6</x:v>
      </x:c>
      <x:c r="I28" s="152" t="str">
        <x:v>A low shrub to us becomes dense multi-story jungle to a TMB traveler.</x:v>
      </x:c>
      <x:c r="J28" s="207" t="str">
        <x:v>S14</x:v>
      </x:c>
    </x:row>
    <x:row r="29" ht="30" customHeight="1">
      <x:c r="A29" s="155" t="str">
        <x:v>Palm</x:v>
      </x:c>
      <x:c r="B29" s="152" t="str">
        <x:v>Seashore palm</x:v>
      </x:c>
      <x:c r="C29" s="152" t="str">
        <x:v>5–10 ft tall (use 7.5 ft)</x:v>
      </x:c>
      <x:c r="D29" s="153" t="n">
        <x:v>2286</x:v>
      </x:c>
      <x:c r="E29" s="153" t="n">
        <x:f>D29*$B$4</x:f>
        <x:v>411480</x:v>
      </x:c>
      <x:c r="F29" s="153" t="n">
        <x:f>E29/1000</x:f>
        <x:v>411.48</x:v>
      </x:c>
      <x:c r="G29" s="153" t="n">
        <x:f>F29*3.280839895</x:f>
        <x:v>1349.9999999946</x:v>
      </x:c>
      <x:c r="H29" s="153" t="n">
        <x:f>D29/$E$4</x:f>
        <x:v>228.6</x:v>
      </x:c>
      <x:c r="I29" s="152" t="str">
        <x:v>Salt-tolerant beach vegetation that forms a formidable coastal thicket.</x:v>
      </x:c>
      <x:c r="J29" s="207" t="str">
        <x:v>S15</x:v>
      </x:c>
    </x:row>
    <x:row r="30" ht="30" customHeight="1">
      <x:c r="A30" s="155" t="str">
        <x:v>Palm</x:v>
      </x:c>
      <x:c r="B30" s="152" t="str">
        <x:v>Florida thatch palm</x:v>
      </x:c>
      <x:c r="C30" s="152" t="str">
        <x:v>~25 ft tall</x:v>
      </x:c>
      <x:c r="D30" s="153" t="n">
        <x:v>7620</x:v>
      </x:c>
      <x:c r="E30" s="153" t="n">
        <x:f>D30*$B$4</x:f>
        <x:v>1371600</x:v>
      </x:c>
      <x:c r="F30" s="153" t="n">
        <x:f>E30/1000</x:f>
        <x:v>1371.6</x:v>
      </x:c>
      <x:c r="G30" s="153" t="n">
        <x:f>F30*3.280839895</x:f>
        <x:v>4499.999999982</x:v>
      </x:c>
      <x:c r="H30" s="153" t="n">
        <x:f>D30/$E$4</x:f>
        <x:v>762</x:v>
      </x:c>
      <x:c r="I30" s="152" t="str">
        <x:v>A smaller palm by human standards, but still a kilometer-scale-feeling landmark.</x:v>
      </x:c>
      <x:c r="J30" s="207" t="str">
        <x:v>S16</x:v>
      </x:c>
    </x:row>
    <x:row r="31" ht="30" customHeight="1">
      <x:c r="A31" s="137" t="str">
        <x:v>Coastal plant</x:v>
      </x:c>
      <x:c r="B31" s="134" t="str">
        <x:v>Sea oats leaves</x:v>
      </x:c>
      <x:c r="C31" s="134" t="str">
        <x:v>1–2 ft tall (use 1.5 ft)</x:v>
      </x:c>
      <x:c r="D31" s="135" t="n">
        <x:v>457.2</x:v>
      </x:c>
      <x:c r="E31" s="135" t="n">
        <x:f>D31*$B$4</x:f>
        <x:v>82296</x:v>
      </x:c>
      <x:c r="F31" s="135" t="n">
        <x:f>E31/1000</x:f>
        <x:v>82.296</x:v>
      </x:c>
      <x:c r="G31" s="135" t="n">
        <x:f>F31*3.280839895</x:f>
        <x:v>269.99999999892003</x:v>
      </x:c>
      <x:c r="H31" s="135" t="n">
        <x:f>D31/$E$4</x:f>
        <x:v>45.72</x:v>
      </x:c>
      <x:c r="I31" s="134" t="str">
        <x:v>Even the leafy portion forms a grass forest about forty-six human heights high.</x:v>
      </x:c>
      <x:c r="J31" s="204" t="str">
        <x:v>S17</x:v>
      </x:c>
    </x:row>
    <x:row r="32" ht="30" customHeight="1">
      <x:c r="A32" s="137" t="str">
        <x:v>Coastal plant</x:v>
      </x:c>
      <x:c r="B32" s="134" t="str">
        <x:v>Sea oats flowering stem</x:v>
      </x:c>
      <x:c r="C32" s="134" t="str">
        <x:v>5–8 ft tall (use 6.5 ft)</x:v>
      </x:c>
      <x:c r="D32" s="135" t="n">
        <x:v>1981.2</x:v>
      </x:c>
      <x:c r="E32" s="135" t="n">
        <x:f>D32*$B$4</x:f>
        <x:v>356616</x:v>
      </x:c>
      <x:c r="F32" s="135" t="n">
        <x:f>E32/1000</x:f>
        <x:v>356.616</x:v>
      </x:c>
      <x:c r="G32" s="135" t="n">
        <x:f>F32*3.280839895</x:f>
        <x:v>1169.99999999532</x:v>
      </x:c>
      <x:c r="H32" s="135" t="n">
        <x:f>D32/$E$4</x:f>
        <x:v>198.12</x:v>
      </x:c>
      <x:c r="I32" s="134" t="str">
        <x:v>The seed stalks tower like thin high-rises above the dune floor.</x:v>
      </x:c>
      <x:c r="J32" s="204" t="str">
        <x:v>S17</x:v>
      </x:c>
    </x:row>
    <x:row r="33" ht="30" customHeight="1">
      <x:c r="A33" s="137" t="str">
        <x:v>Coastal plant</x:v>
      </x:c>
      <x:c r="B33" s="134" t="str">
        <x:v>Railroad vine runner</x:v>
      </x:c>
      <x:c r="C33" s="134" t="str">
        <x:v>up to 30 ft long</x:v>
      </x:c>
      <x:c r="D33" s="135" t="n">
        <x:v>9144</x:v>
      </x:c>
      <x:c r="E33" s="135" t="n">
        <x:f>D33*$B$4</x:f>
        <x:v>1645920</x:v>
      </x:c>
      <x:c r="F33" s="135" t="n">
        <x:f>E33/1000</x:f>
        <x:v>1645.92</x:v>
      </x:c>
      <x:c r="G33" s="135" t="n">
        <x:f>F33*3.280839895</x:f>
        <x:v>5399.9999999784</x:v>
      </x:c>
      <x:c r="H33" s="135" t="n">
        <x:f>D33/$E$4</x:f>
        <x:v>914.4</x:v>
      </x:c>
      <x:c r="I33" s="134" t="str">
        <x:v>A single beach vine can run almost a kilometer and a half in TMB-relative scale.</x:v>
      </x:c>
      <x:c r="J33" s="204" t="str">
        <x:v>S18</x:v>
      </x:c>
    </x:row>
    <x:row r="34" ht="30" customHeight="1">
      <x:c r="A34" s="137" t="str">
        <x:v>Coastal plant</x:v>
      </x:c>
      <x:c r="B34" s="134" t="str">
        <x:v>Sea purslane</x:v>
      </x:c>
      <x:c r="C34" s="134" t="str">
        <x:v>6–8 in tall (use 7 in)</x:v>
      </x:c>
      <x:c r="D34" s="135" t="n">
        <x:v>177.8</x:v>
      </x:c>
      <x:c r="E34" s="135" t="n">
        <x:f>D34*$B$4</x:f>
        <x:v>32004.000000000004</x:v>
      </x:c>
      <x:c r="F34" s="135" t="n">
        <x:f>E34/1000</x:f>
        <x:v>32.004000000000005</x:v>
      </x:c>
      <x:c r="G34" s="135" t="n">
        <x:f>F34*3.280839895</x:f>
        <x:v>104.99999999958003</x:v>
      </x:c>
      <x:c r="H34" s="135" t="n">
        <x:f>D34/$E$4</x:f>
        <x:v>17.78</x:v>
      </x:c>
      <x:c r="I34" s="134" t="str">
        <x:v>A tiny succulent groundcover becomes chest-high-to-building-scale vegetation.</x:v>
      </x:c>
      <x:c r="J34" s="204" t="str">
        <x:v>S19</x:v>
      </x:c>
    </x:row>
    <x:row r="35" ht="30" customHeight="1">
      <x:c r="A35" s="137" t="str">
        <x:v>Coastal plant</x:v>
      </x:c>
      <x:c r="B35" s="134" t="str">
        <x:v>Sand cordgrass</x:v>
      </x:c>
      <x:c r="C35" s="134" t="str">
        <x:v>4–6 ft tall (use 5 ft)</x:v>
      </x:c>
      <x:c r="D35" s="135" t="n">
        <x:v>1524</x:v>
      </x:c>
      <x:c r="E35" s="135" t="n">
        <x:f>D35*$B$4</x:f>
        <x:v>274320</x:v>
      </x:c>
      <x:c r="F35" s="135" t="n">
        <x:f>E35/1000</x:f>
        <x:v>274.32</x:v>
      </x:c>
      <x:c r="G35" s="135" t="n">
        <x:f>F35*3.280839895</x:f>
        <x:v>899.9999999964</x:v>
      </x:c>
      <x:c r="H35" s="135" t="n">
        <x:f>D35/$E$4</x:f>
        <x:v>152.4</x:v>
      </x:c>
      <x:c r="I35" s="134" t="str">
        <x:v>Wire-like leaves form a towering, abrasive grass maze.</x:v>
      </x:c>
      <x:c r="J35" s="204" t="str">
        <x:v>S19</x:v>
      </x:c>
    </x:row>
    <x:row r="36" ht="30" customHeight="1">
      <x:c r="A36" s="137" t="str">
        <x:v>Coastal plant</x:v>
      </x:c>
      <x:c r="B36" s="134" t="str">
        <x:v>Inkberry</x:v>
      </x:c>
      <x:c r="C36" s="134" t="str">
        <x:v>2–4 ft tall (use 3 ft)</x:v>
      </x:c>
      <x:c r="D36" s="135" t="n">
        <x:v>914.4</x:v>
      </x:c>
      <x:c r="E36" s="135" t="n">
        <x:f>D36*$B$4</x:f>
        <x:v>164592</x:v>
      </x:c>
      <x:c r="F36" s="135" t="n">
        <x:f>E36/1000</x:f>
        <x:v>164.592</x:v>
      </x:c>
      <x:c r="G36" s="135" t="n">
        <x:f>F36*3.280839895</x:f>
        <x:v>539.9999999978401</x:v>
      </x:c>
      <x:c r="H36" s="135" t="n">
        <x:f>D36/$E$4</x:f>
        <x:v>91.44</x:v>
      </x:c>
      <x:c r="I36" s="134" t="str">
        <x:v>A beach shrub becomes an enormous tangled wall.</x:v>
      </x:c>
      <x:c r="J36" s="204" t="str">
        <x:v>S19</x:v>
      </x:c>
    </x:row>
    <x:row r="37" ht="30" customHeight="1">
      <x:c r="A37" s="143" t="str">
        <x:v>Terrain</x:v>
      </x:c>
      <x:c r="B37" s="140" t="str">
        <x:v>Coarse sand grain</x:v>
      </x:c>
      <x:c r="C37" s="140" t="str">
        <x:v>~1 mm</x:v>
      </x:c>
      <x:c r="D37" s="141" t="n">
        <x:v>1</x:v>
      </x:c>
      <x:c r="E37" s="141" t="n">
        <x:f>D37*$B$4</x:f>
        <x:v>180</x:v>
      </x:c>
      <x:c r="F37" s="141" t="n">
        <x:f>E37/1000</x:f>
        <x:v>0.18</x:v>
      </x:c>
      <x:c r="G37" s="141" t="n">
        <x:f>F37*3.280839895</x:f>
        <x:v>0.5905511811</x:v>
      </x:c>
      <x:c r="H37" s="141" t="n">
        <x:f>D37/$E$4</x:f>
        <x:v>0.1</x:v>
      </x:c>
      <x:c r="I37" s="140" t="str">
        <x:v>A coarse grain is about one-tenth of a TMB human's height, like fist-to-head-sized rubble.</x:v>
      </x:c>
      <x:c r="J37" s="205" t="str">
        <x:v>Design ref</x:v>
      </x:c>
    </x:row>
    <x:row r="38" ht="30" customHeight="1">
      <x:c r="A38" s="143" t="str">
        <x:v>Terrain</x:v>
      </x:c>
      <x:c r="B38" s="140" t="str">
        <x:v>Medium sand grain</x:v>
      </x:c>
      <x:c r="C38" s="140" t="str">
        <x:v>~0.5 mm</x:v>
      </x:c>
      <x:c r="D38" s="141" t="n">
        <x:v>0.5</x:v>
      </x:c>
      <x:c r="E38" s="141" t="n">
        <x:f>D38*$B$4</x:f>
        <x:v>90</x:v>
      </x:c>
      <x:c r="F38" s="141" t="n">
        <x:f>E38/1000</x:f>
        <x:v>0.09</x:v>
      </x:c>
      <x:c r="G38" s="141" t="n">
        <x:f>F38*3.280839895</x:f>
        <x:v>0.29527559055</x:v>
      </x:c>
      <x:c r="H38" s="141" t="n">
        <x:f>D38/$E$4</x:f>
        <x:v>0.05</x:v>
      </x:c>
      <x:c r="I38" s="140" t="str">
        <x:v>Ordinary beach sand behaves more like chunky gravel underfoot.</x:v>
      </x:c>
      <x:c r="J38" s="205" t="str">
        <x:v>Design ref</x:v>
      </x:c>
    </x:row>
    <x:row r="39" ht="30" customHeight="1">
      <x:c r="A39" s="143" t="str">
        <x:v>Terrain</x:v>
      </x:c>
      <x:c r="B39" s="140" t="str">
        <x:v>Small shell fragment</x:v>
      </x:c>
      <x:c r="C39" s="140" t="str">
        <x:v>~20 mm</x:v>
      </x:c>
      <x:c r="D39" s="141" t="n">
        <x:v>20</x:v>
      </x:c>
      <x:c r="E39" s="141" t="n">
        <x:f>D39*$B$4</x:f>
        <x:v>3600</x:v>
      </x:c>
      <x:c r="F39" s="141" t="n">
        <x:f>E39/1000</x:f>
        <x:v>3.6</x:v>
      </x:c>
      <x:c r="G39" s="141" t="n">
        <x:f>F39*3.280839895</x:f>
        <x:v>11.811023622</x:v>
      </x:c>
      <x:c r="H39" s="141" t="n">
        <x:f>D39/$E$4</x:f>
        <x:v>2</x:v>
      </x:c>
      <x:c r="I39" s="140" t="str">
        <x:v>A modest shell chip can be twice a person's height and serve as cover or building material.</x:v>
      </x:c>
      <x:c r="J39" s="205" t="str">
        <x:v>Design ref</x:v>
      </x:c>
    </x:row>
    <x:row r="40" ht="30" customHeight="1">
      <x:c r="A40" s="143" t="str">
        <x:v>Terrain</x:v>
      </x:c>
      <x:c r="B40" s="140" t="str">
        <x:v>Seashell</x:v>
      </x:c>
      <x:c r="C40" s="140" t="str">
        <x:v>~75 mm</x:v>
      </x:c>
      <x:c r="D40" s="141" t="n">
        <x:v>75</x:v>
      </x:c>
      <x:c r="E40" s="141" t="n">
        <x:f>D40*$B$4</x:f>
        <x:v>13500</x:v>
      </x:c>
      <x:c r="F40" s="141" t="n">
        <x:f>E40/1000</x:f>
        <x:v>13.5</x:v>
      </x:c>
      <x:c r="G40" s="141" t="n">
        <x:f>F40*3.280839895</x:f>
        <x:v>44.2913385825</x:v>
      </x:c>
      <x:c r="H40" s="141" t="n">
        <x:f>D40/$E$4</x:f>
        <x:v>7.5</x:v>
      </x:c>
      <x:c r="I40" s="140" t="str">
        <x:v>A three-inch shell becomes a huge natural chamber or shelter.</x:v>
      </x:c>
      <x:c r="J40" s="205" t="str">
        <x:v>Design ref</x:v>
      </x:c>
    </x:row>
    <x:row r="41" ht="30" customHeight="1">
      <x:c r="A41" s="143" t="str">
        <x:v>Terrain</x:v>
      </x:c>
      <x:c r="B41" s="140" t="str">
        <x:v>Small driftwood branch</x:v>
      </x:c>
      <x:c r="C41" s="140" t="str">
        <x:v>~50 mm diameter</x:v>
      </x:c>
      <x:c r="D41" s="141" t="n">
        <x:v>50</x:v>
      </x:c>
      <x:c r="E41" s="141" t="n">
        <x:f>D41*$B$4</x:f>
        <x:v>9000</x:v>
      </x:c>
      <x:c r="F41" s="141" t="n">
        <x:f>E41/1000</x:f>
        <x:v>9</x:v>
      </x:c>
      <x:c r="G41" s="141" t="n">
        <x:f>F41*3.280839895</x:f>
        <x:v>29.527559055</x:v>
      </x:c>
      <x:c r="H41" s="141" t="n">
        <x:f>D41/$E$4</x:f>
        <x:v>5</x:v>
      </x:c>
      <x:c r="I41" s="140" t="str">
        <x:v>A two-inch branch is a five-human-thick log, useful as a bridge or major obstacle.</x:v>
      </x:c>
      <x:c r="J41" s="205" t="str">
        <x:v>Design ref</x:v>
      </x:c>
    </x:row>
    <x:row r="42" ht="30" customHeight="1">
      <x:c r="A42" s="143" t="str">
        <x:v>Terrain</x:v>
      </x:c>
      <x:c r="B42" s="140" t="str">
        <x:v>Fallen palm frond</x:v>
      </x:c>
      <x:c r="C42" s="140" t="str">
        <x:v>~3.5 m long</x:v>
      </x:c>
      <x:c r="D42" s="141" t="n">
        <x:v>3500</x:v>
      </x:c>
      <x:c r="E42" s="141" t="n">
        <x:f>D42*$B$4</x:f>
        <x:v>630000</x:v>
      </x:c>
      <x:c r="F42" s="141" t="n">
        <x:f>E42/1000</x:f>
        <x:v>630</x:v>
      </x:c>
      <x:c r="G42" s="141" t="n">
        <x:f>F42*3.280839895</x:f>
        <x:v>2066.92913385</x:v>
      </x:c>
      <x:c r="H42" s="141" t="n">
        <x:f>D42/$E$4</x:f>
        <x:v>350</x:v>
      </x:c>
      <x:c r="I42" s="140" t="str">
        <x:v>A fallen frond becomes a sprawling terrain feature with ribs, tunnels, and cover.</x:v>
      </x:c>
      <x:c r="J42" s="205" t="str">
        <x:v>Design ref</x:v>
      </x:c>
    </x:row>
    <x:row r="43" ht="30" customHeight="1">
      <x:c r="A43" s="149" t="str">
        <x:v>Water</x:v>
      </x:c>
      <x:c r="B43" s="146" t="str">
        <x:v>Raindrop</x:v>
      </x:c>
      <x:c r="C43" s="146" t="str">
        <x:v>~2 mm diameter</x:v>
      </x:c>
      <x:c r="D43" s="147" t="n">
        <x:v>2</x:v>
      </x:c>
      <x:c r="E43" s="147" t="n">
        <x:f>D43*$B$4</x:f>
        <x:v>360</x:v>
      </x:c>
      <x:c r="F43" s="147" t="n">
        <x:f>E43/1000</x:f>
        <x:v>0.36</x:v>
      </x:c>
      <x:c r="G43" s="147" t="n">
        <x:f>F43*3.280839895</x:f>
        <x:v>1.1811023622</x:v>
      </x:c>
      <x:c r="H43" s="147" t="n">
        <x:f>D43/$E$4</x:f>
        <x:v>0.2</x:v>
      </x:c>
      <x:c r="I43" s="146" t="str">
        <x:v>A normal raindrop is about one-fifth a person's height and carries serious impact energy.</x:v>
      </x:c>
      <x:c r="J43" s="206" t="str">
        <x:v>Design ref</x:v>
      </x:c>
    </x:row>
    <x:row r="44" ht="30" customHeight="1">
      <x:c r="A44" s="149" t="str">
        <x:v>Water</x:v>
      </x:c>
      <x:c r="B44" s="146" t="str">
        <x:v>Large raindrop</x:v>
      </x:c>
      <x:c r="C44" s="146" t="str">
        <x:v>~5 mm diameter</x:v>
      </x:c>
      <x:c r="D44" s="147" t="n">
        <x:v>5</x:v>
      </x:c>
      <x:c r="E44" s="147" t="n">
        <x:f>D44*$B$4</x:f>
        <x:v>900</x:v>
      </x:c>
      <x:c r="F44" s="147" t="n">
        <x:f>E44/1000</x:f>
        <x:v>0.9</x:v>
      </x:c>
      <x:c r="G44" s="147" t="n">
        <x:f>F44*3.280839895</x:f>
        <x:v>2.9527559055</x:v>
      </x:c>
      <x:c r="H44" s="147" t="n">
        <x:f>D44/$E$4</x:f>
        <x:v>0.5</x:v>
      </x:c>
      <x:c r="I44" s="146" t="str">
        <x:v>A large drop is half a person's height, turning a storm into falling water-boulders.</x:v>
      </x:c>
      <x:c r="J44" s="206" t="str">
        <x:v>Design ref</x:v>
      </x:c>
    </x:row>
    <x:row r="45" ht="30" customHeight="1">
      <x:c r="A45" s="149" t="str">
        <x:v>Water</x:v>
      </x:c>
      <x:c r="B45" s="146" t="str">
        <x:v>1 cm puddle depth</x:v>
      </x:c>
      <x:c r="C45" s="146" t="str">
        <x:v>10 mm deep</x:v>
      </x:c>
      <x:c r="D45" s="147" t="n">
        <x:v>10</x:v>
      </x:c>
      <x:c r="E45" s="147" t="n">
        <x:f>D45*$B$4</x:f>
        <x:v>1800</x:v>
      </x:c>
      <x:c r="F45" s="147" t="n">
        <x:f>E45/1000</x:f>
        <x:v>1.8</x:v>
      </x:c>
      <x:c r="G45" s="147" t="n">
        <x:f>F45*3.280839895</x:f>
        <x:v>5.905511811</x:v>
      </x:c>
      <x:c r="H45" s="147" t="n">
        <x:f>D45/$E$4</x:f>
        <x:v>1</x:v>
      </x:c>
      <x:c r="I45" s="146" t="str">
        <x:v>Only one centimeter of normal water is already one full TMB human height deep.</x:v>
      </x:c>
      <x:c r="J45" s="206" t="str">
        <x:v>Design ref</x:v>
      </x:c>
    </x:row>
    <x:row r="46" ht="30" customHeight="1">
      <x:c r="A46" s="149" t="str">
        <x:v>Water</x:v>
      </x:c>
      <x:c r="B46" s="146" t="str">
        <x:v>1 inch puddle depth</x:v>
      </x:c>
      <x:c r="C46" s="146" t="str">
        <x:v>1 in deep</x:v>
      </x:c>
      <x:c r="D46" s="147" t="n">
        <x:v>25.4</x:v>
      </x:c>
      <x:c r="E46" s="147" t="n">
        <x:f>D46*$B$4</x:f>
        <x:v>4572</x:v>
      </x:c>
      <x:c r="F46" s="147" t="n">
        <x:f>E46/1000</x:f>
        <x:v>4.572</x:v>
      </x:c>
      <x:c r="G46" s="147" t="n">
        <x:f>F46*3.280839895</x:f>
        <x:v>14.999999999940002</x:v>
      </x:c>
      <x:c r="H46" s="147" t="n">
        <x:f>D46/$E$4</x:f>
        <x:v>2.54</x:v>
      </x:c>
      <x:c r="I46" s="146" t="str">
        <x:v>A shallow puddle becomes water about two and a half human heights deep.</x:v>
      </x:c>
      <x:c r="J46" s="206" t="str">
        <x:v>Design ref</x:v>
      </x:c>
    </x:row>
    <x:row r="47" ht="30" customHeight="1">
      <x:c r="A47" s="149" t="str">
        <x:v>Water</x:v>
      </x:c>
      <x:c r="B47" s="146" t="str">
        <x:v>6 inch tidal wash / runoff</x:v>
      </x:c>
      <x:c r="C47" s="146" t="str">
        <x:v>6 in deep</x:v>
      </x:c>
      <x:c r="D47" s="147" t="n">
        <x:v>152.4</x:v>
      </x:c>
      <x:c r="E47" s="147" t="n">
        <x:f>D47*$B$4</x:f>
        <x:v>27432</x:v>
      </x:c>
      <x:c r="F47" s="147" t="n">
        <x:f>E47/1000</x:f>
        <x:v>27.432</x:v>
      </x:c>
      <x:c r="G47" s="147" t="n">
        <x:f>F47*3.280839895</x:f>
        <x:v>89.99999999964</x:v>
      </x:c>
      <x:c r="H47" s="147" t="n">
        <x:f>D47/$E$4</x:f>
        <x:v>15.24</x:v>
      </x:c>
      <x:c r="I47" s="146" t="str">
        <x:v>A few inches of moving water becomes a devastating flood roughly fifteen human heights deep.</x:v>
      </x:c>
      <x:c r="J47" s="206" t="str">
        <x:v>Design ref</x:v>
      </x:c>
    </x:row>
    <x:row r="48" ht="30" customHeight="1">
      <x:c r="A48" s="161" t="str">
        <x:v>Human object</x:v>
      </x:c>
      <x:c r="B48" s="158" t="str">
        <x:v>Soda can</x:v>
      </x:c>
      <x:c r="C48" s="158" t="str">
        <x:v>~4.83 in tall</x:v>
      </x:c>
      <x:c r="D48" s="159" t="n">
        <x:v>122.7</x:v>
      </x:c>
      <x:c r="E48" s="159" t="n">
        <x:f>D48*$B$4</x:f>
        <x:v>22086</x:v>
      </x:c>
      <x:c r="F48" s="159" t="n">
        <x:f>E48/1000</x:f>
        <x:v>22.086</x:v>
      </x:c>
      <x:c r="G48" s="159" t="n">
        <x:f>F48*3.280839895</x:f>
        <x:v>72.46062992096999</x:v>
      </x:c>
      <x:c r="H48" s="159" t="n">
        <x:f>D48/$E$4</x:f>
        <x:v>12.27</x:v>
      </x:c>
      <x:c r="I48" s="158" t="str">
        <x:v>A discarded can stands over twelve TMB human heights tall and could function like a metal tower.</x:v>
      </x:c>
      <x:c r="J48" s="208" t="str">
        <x:v>Design ref</x:v>
      </x:c>
    </x:row>
    <x:row r="49" ht="30" customHeight="1">
      <x:c r="A49" s="161" t="str">
        <x:v>Human object</x:v>
      </x:c>
      <x:c r="B49" s="158" t="str">
        <x:v>Bottle cap</x:v>
      </x:c>
      <x:c r="C49" s="158" t="str">
        <x:v>~30 mm diameter</x:v>
      </x:c>
      <x:c r="D49" s="159" t="n">
        <x:v>30</x:v>
      </x:c>
      <x:c r="E49" s="159" t="n">
        <x:f>D49*$B$4</x:f>
        <x:v>5400</x:v>
      </x:c>
      <x:c r="F49" s="159" t="n">
        <x:f>E49/1000</x:f>
        <x:v>5.4</x:v>
      </x:c>
      <x:c r="G49" s="159" t="n">
        <x:f>F49*3.280839895</x:f>
        <x:v>17.716535433</x:v>
      </x:c>
      <x:c r="H49" s="159" t="n">
        <x:f>D49/$E$4</x:f>
        <x:v>3</x:v>
      </x:c>
      <x:c r="I49" s="158" t="str">
        <x:v>A cap is roughly three human heights across, practically a ready-made platform or basin.</x:v>
      </x:c>
      <x:c r="J49" s="208" t="str">
        <x:v>Design ref</x:v>
      </x:c>
    </x:row>
    <x:row r="50" ht="30" customHeight="1">
      <x:c r="A50" s="161" t="str">
        <x:v>Human object</x:v>
      </x:c>
      <x:c r="B50" s="158" t="str">
        <x:v>US quarter</x:v>
      </x:c>
      <x:c r="C50" s="158" t="str">
        <x:v>24.26 mm diameter</x:v>
      </x:c>
      <x:c r="D50" s="159" t="n">
        <x:v>24.26</x:v>
      </x:c>
      <x:c r="E50" s="159" t="n">
        <x:f>D50*$B$4</x:f>
        <x:v>4366.8</x:v>
      </x:c>
      <x:c r="F50" s="159" t="n">
        <x:f>E50/1000</x:f>
        <x:v>4.3668000000000005</x:v>
      </x:c>
      <x:c r="G50" s="159" t="n">
        <x:f>F50*3.280839895</x:f>
        <x:v>14.326771653486002</x:v>
      </x:c>
      <x:c r="H50" s="159" t="n">
        <x:f>D50/$E$4</x:f>
        <x:v>2.426</x:v>
      </x:c>
      <x:c r="I50" s="158" t="str">
        <x:v>A quarter is about two and a half human heights across.</x:v>
      </x:c>
      <x:c r="J50" s="208" t="str">
        <x:v>Design ref</x:v>
      </x:c>
    </x:row>
    <x:row r="51" ht="30" customHeight="1">
      <x:c r="A51" s="161" t="str">
        <x:v>Human object</x:v>
      </x:c>
      <x:c r="B51" s="158" t="str">
        <x:v>Pencil</x:v>
      </x:c>
      <x:c r="C51" s="158" t="str">
        <x:v>~190 mm long</x:v>
      </x:c>
      <x:c r="D51" s="159" t="n">
        <x:v>190</x:v>
      </x:c>
      <x:c r="E51" s="159" t="n">
        <x:f>D51*$B$4</x:f>
        <x:v>34200</x:v>
      </x:c>
      <x:c r="F51" s="159" t="n">
        <x:f>E51/1000</x:f>
        <x:v>34.2</x:v>
      </x:c>
      <x:c r="G51" s="159" t="n">
        <x:f>F51*3.280839895</x:f>
        <x:v>112.20472440900002</x:v>
      </x:c>
      <x:c r="H51" s="159" t="n">
        <x:f>D51/$E$4</x:f>
        <x:v>19</x:v>
      </x:c>
      <x:c r="I51" s="158" t="str">
        <x:v>A pencil becomes a nineteen-human-long beam or fallen pole.</x:v>
      </x:c>
      <x:c r="J51" s="208" t="str">
        <x:v>Design ref</x:v>
      </x:c>
    </x:row>
    <x:row r="52" ht="30" customHeight="1">
      <x:c r="A52" s="167" t="str">
        <x:v>Human object</x:v>
      </x:c>
      <x:c r="B52" s="164" t="str">
        <x:v>Shoe print depth</x:v>
      </x:c>
      <x:c r="C52" s="164" t="str">
        <x:v>~10 mm depression</x:v>
      </x:c>
      <x:c r="D52" s="165" t="n">
        <x:v>10</x:v>
      </x:c>
      <x:c r="E52" s="165" t="n">
        <x:f>D52*$B$4</x:f>
        <x:v>1800</x:v>
      </x:c>
      <x:c r="F52" s="165" t="n">
        <x:f>E52/1000</x:f>
        <x:v>1.8</x:v>
      </x:c>
      <x:c r="G52" s="165" t="n">
        <x:f>F52*3.280839895</x:f>
        <x:v>5.905511811</x:v>
      </x:c>
      <x:c r="H52" s="165" t="n">
        <x:f>D52/$E$4</x:f>
        <x:v>1</x:v>
      </x:c>
      <x:c r="I52" s="164" t="str">
        <x:v>Even a shallow footprint depression can be as deep as a TMB person is tall.</x:v>
      </x:c>
      <x:c r="J52" s="209" t="str">
        <x:v>Design ref</x:v>
      </x:c>
    </x:row>
    <x:row r="54" ht="40" customHeight="1">
      <x:c r="A54" s="100" t="str">
        <x:v>How to read it: objects do not physically become 180× larger. The TMB-relative columns express how large a normal object feels to a person at 1/180 normal human scale. Ranges use representative midpoints where noted. Rows marked Design ref are practical worldbuilding reference values.</x:v>
      </x:c>
      <x:c r="B54" s="100"/>
      <x:c r="C54" s="100"/>
      <x:c r="D54" s="100"/>
      <x:c r="E54" s="100"/>
      <x:c r="F54" s="100"/>
      <x:c r="G54" s="100"/>
      <x:c r="H54" s="100"/>
      <x:c r="I54" s="100"/>
      <x:c r="J54" s="100"/>
    </x:row>
  </x:sheetData>
  <x:mergeCells>
    <x:mergeCell ref="A1:J1"/>
    <x:mergeCell ref="A2:J2"/>
    <x:mergeCell ref="A54:J5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70" hidden="0" customWidth="1"/>
  </x:cols>
  <x:sheetData>
    <x:row r="1">
      <x:c r="A1" s="219" t="str">
        <x:v>Research Sources</x:v>
      </x:c>
      <x:c r="B1" s="219"/>
      <x:c r="C1" s="219"/>
      <x:c r="D1" s="219"/>
    </x:row>
    <x:row r="2">
      <x:c r="A2" s="105" t="str">
        <x:v>ID</x:v>
      </x:c>
      <x:c r="B2" s="105" t="str">
        <x:v>Subject</x:v>
      </x:c>
      <x:c r="C2" s="105" t="str">
        <x:v>Source</x:v>
      </x:c>
      <x:c r="D2" s="105" t="str">
        <x:v>URL</x:v>
      </x:c>
    </x:row>
    <x:row r="3">
      <x:c r="A3" s="170" t="str">
        <x:v>S1</x:v>
      </x:c>
      <x:c r="B3" s="170" t="str">
        <x:v>Red imported fire ant worker size</x:v>
      </x:c>
      <x:c r="C3" s="170" t="str">
        <x:v>UF/IFAS, Red Imported Fire Ant</x:v>
      </x:c>
      <x:c r="D3" s="170" t="str">
        <x:v>https://ask.ifas.ufl.edu/publication/IN352</x:v>
      </x:c>
    </x:row>
    <x:row r="4">
      <x:c r="A4" s="105" t="str">
        <x:v>S2</x:v>
      </x:c>
      <x:c r="B4" s="105" t="str">
        <x:v>Imported fire ant queen size</x:v>
      </x:c>
      <x:c r="C4" s="105" t="str">
        <x:v>UF/IFAS, Managing Imported Fire Ants in Urban Areas</x:v>
      </x:c>
      <x:c r="D4" s="105" t="str">
        <x:v>https://ask.ifas.ufl.edu/publication/LH059</x:v>
      </x:c>
    </x:row>
    <x:row r="5">
      <x:c r="A5" s="105" t="str">
        <x:v>S3</x:v>
      </x:c>
      <x:c r="B5" s="105" t="str">
        <x:v>Florida carpenter ant sizes</x:v>
      </x:c>
      <x:c r="C5" s="105" t="str">
        <x:v>UF/IFAS, Florida Carpenter Ants</x:v>
      </x:c>
      <x:c r="D5" s="105" t="str">
        <x:v>https://ask.ifas.ufl.edu/publication/IN1075</x:v>
      </x:c>
    </x:row>
    <x:row r="6">
      <x:c r="A6" s="105" t="str">
        <x:v>S4</x:v>
      </x:c>
      <x:c r="B6" s="105" t="str">
        <x:v>House fly size</x:v>
      </x:c>
      <x:c r="C6" s="105" t="str">
        <x:v>UF/IFAS, House Fly</x:v>
      </x:c>
      <x:c r="D6" s="105" t="str">
        <x:v>https://edis.ifas.ufl.edu/publication/IN205</x:v>
      </x:c>
    </x:row>
    <x:row r="7">
      <x:c r="A7" s="105" t="str">
        <x:v>S5</x:v>
      </x:c>
      <x:c r="B7" s="105" t="str">
        <x:v>Southern house mosquito size</x:v>
      </x:c>
      <x:c r="C7" s="105" t="str">
        <x:v>UF/IFAS, Southern House Mosquito</x:v>
      </x:c>
      <x:c r="D7" s="105" t="str">
        <x:v>https://ask.ifas.ufl.edu/publication/IN837</x:v>
      </x:c>
    </x:row>
    <x:row r="8">
      <x:c r="A8" s="105" t="str">
        <x:v>S6</x:v>
      </x:c>
      <x:c r="B8" s="105" t="str">
        <x:v>Lady beetle size</x:v>
      </x:c>
      <x:c r="C8" s="105" t="str">
        <x:v>NC State Extension, Lady Beetles</x:v>
      </x:c>
      <x:c r="D8" s="105" t="str">
        <x:v>https://content.ces.ncsu.edu/lady-beetles</x:v>
      </x:c>
    </x:row>
    <x:row r="9">
      <x:c r="A9" s="105" t="str">
        <x:v>S7</x:v>
      </x:c>
      <x:c r="B9" s="105" t="str">
        <x:v>Regal jumping spider size</x:v>
      </x:c>
      <x:c r="C9" s="105" t="str">
        <x:v>UF/IFAS, Regal Jumping Spider</x:v>
      </x:c>
      <x:c r="D9" s="105" t="str">
        <x:v>https://ask.ifas.ufl.edu/publication/IN309</x:v>
      </x:c>
    </x:row>
    <x:row r="10">
      <x:c r="A10" s="105" t="str">
        <x:v>S8</x:v>
      </x:c>
      <x:c r="B10" s="105" t="str">
        <x:v>Carolina wolf spider size</x:v>
      </x:c>
      <x:c r="C10" s="105" t="str">
        <x:v>UF/IFAS Wakulla County, Spiders</x:v>
      </x:c>
      <x:c r="D10" s="105" t="str">
        <x:v>https://sfyl.ifas.ufl.edu/wakulla/agriculture--horticulture/natural-resources/big-bend-bugs/spiders/</x:v>
      </x:c>
    </x:row>
    <x:row r="11">
      <x:c r="A11" s="105" t="str">
        <x:v>S9</x:v>
      </x:c>
      <x:c r="B11" s="105" t="str">
        <x:v>Florida woods cockroach size</x:v>
      </x:c>
      <x:c r="C11" s="105" t="str">
        <x:v>UF/IFAS, Florida Woods Cockroach</x:v>
      </x:c>
      <x:c r="D11" s="105" t="str">
        <x:v>https://ask.ifas.ufl.edu/publication/IN915</x:v>
      </x:c>
    </x:row>
    <x:row r="12">
      <x:c r="A12" s="105" t="str">
        <x:v>S10</x:v>
      </x:c>
      <x:c r="B12" s="105" t="str">
        <x:v>Florida turfgrass mowing heights</x:v>
      </x:c>
      <x:c r="C12" s="105" t="str">
        <x:v>UF/IFAS, Mowing Your Florida Lawn</x:v>
      </x:c>
      <x:c r="D12" s="105" t="str">
        <x:v>https://ask.ifas.ufl.edu/publication/LH028</x:v>
      </x:c>
    </x:row>
    <x:row r="13">
      <x:c r="A13" s="105" t="str">
        <x:v>S13</x:v>
      </x:c>
      <x:c r="B13" s="105" t="str">
        <x:v>Cabbage / sabal palm dimensions</x:v>
      </x:c>
      <x:c r="C13" s="105" t="str">
        <x:v>UF/IFAS Gardening Solutions</x:v>
      </x:c>
      <x:c r="D13" s="105" t="str">
        <x:v>https://gardeningsolutions.ifas.ufl.edu/plants/trees-and-shrubs/palms-and-cycads/sabal-palmetto/</x:v>
      </x:c>
    </x:row>
    <x:row r="14">
      <x:c r="A14" s="105" t="str">
        <x:v>S14</x:v>
      </x:c>
      <x:c r="B14" s="105" t="str">
        <x:v>Saw palmetto dimensions</x:v>
      </x:c>
      <x:c r="C14" s="105" t="str">
        <x:v>UF/IFAS Gardening Solutions</x:v>
      </x:c>
      <x:c r="D14" s="105" t="str">
        <x:v>https://gardeningsolutions.ifas.ufl.edu/plants/trees-and-shrubs/palms-and-cycads/saw-palmetto/</x:v>
      </x:c>
    </x:row>
    <x:row r="15">
      <x:c r="A15" s="105" t="str">
        <x:v>S15</x:v>
      </x:c>
      <x:c r="B15" s="105" t="str">
        <x:v>Seashore palm dimensions</x:v>
      </x:c>
      <x:c r="C15" s="105" t="str">
        <x:v>UF/IFAS Ornamental Palms for Central Florida</x:v>
      </x:c>
      <x:c r="D15" s="105" t="str">
        <x:v>https://ask.ifas.ufl.edu/publication/EP020</x:v>
      </x:c>
    </x:row>
    <x:row r="16">
      <x:c r="A16" s="105" t="str">
        <x:v>S16</x:v>
      </x:c>
      <x:c r="B16" s="105" t="str">
        <x:v>Florida thatch palm dimensions</x:v>
      </x:c>
      <x:c r="C16" s="105" t="str">
        <x:v>UF/IFAS Miami-Dade palms guide</x:v>
      </x:c>
      <x:c r="D16" s="105" t="str">
        <x:v>https://sfyl.ifas.ufl.edu/miami-dade/landscapes--gardening/palms-cycads--palm-like-plants-g-z/</x:v>
      </x:c>
    </x:row>
    <x:row r="17">
      <x:c r="A17" s="105" t="str">
        <x:v>S17</x:v>
      </x:c>
      <x:c r="B17" s="105" t="str">
        <x:v>Sea oats dimensions</x:v>
      </x:c>
      <x:c r="C17" s="105" t="str">
        <x:v>UF/IFAS Extension Flagler County</x:v>
      </x:c>
      <x:c r="D17" s="105" t="str">
        <x:v>https://blogs.ifas.ufl.edu/flaglerco/2024/06/21/ten-important-plants-that-make-up-our-sand-dunes-in-coastal-florida/</x:v>
      </x:c>
    </x:row>
    <x:row r="18">
      <x:c r="A18" s="105" t="str">
        <x:v>S18</x:v>
      </x:c>
      <x:c r="B18" s="105" t="str">
        <x:v>Railroad vine dimensions</x:v>
      </x:c>
      <x:c r="C18" s="105" t="str">
        <x:v>UF/IFAS Gardening Solutions</x:v>
      </x:c>
      <x:c r="D18" s="105" t="str">
        <x:v>https://gardeningsolutions.ifas.ufl.edu/plants/ornamentals/railroad-vine/</x:v>
      </x:c>
    </x:row>
    <x:row r="19">
      <x:c r="A19" s="105" t="str">
        <x:v>S19</x:v>
      </x:c>
      <x:c r="B19" s="105" t="str">
        <x:v>Sea purslane, sand cordgrass, inkberry dimensions</x:v>
      </x:c>
      <x:c r="C19" s="105" t="str">
        <x:v>UF/IFAS Miami-Dade groundcovers guide</x:v>
      </x:c>
      <x:c r="D19" s="105" t="str">
        <x:v>https://sfyl.ifas.ufl.edu/miami-dade/landscapes--gardening/groundcovers-j---z/</x:v>
      </x:c>
    </x:row>
  </x:sheetData>
  <x:pageMargins left="0.7" right="0.7" top="0.75" bottom="0.75" header="0.3" footer="0.3"/>
</x:worksheet>
</file>